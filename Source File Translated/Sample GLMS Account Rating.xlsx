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E drive\Dropbox\documents\02 Career\2026 - AIG\Projects\Project AIG 26_05_05\Source File Translated\"/>
    </mc:Choice>
  </mc:AlternateContent>
  <xr:revisionPtr revIDLastSave="0" documentId="13_ncr:1_{33B2745E-FEF8-4719-B00B-3FD33526BDB2}" xr6:coauthVersionLast="47" xr6:coauthVersionMax="47" xr10:uidLastSave="{00000000-0000-0000-0000-000000000000}"/>
  <bookViews>
    <workbookView xWindow="38280" yWindow="-4200" windowWidth="26220" windowHeight="14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K20" i="1"/>
  <c r="K19" i="1"/>
  <c r="K18" i="1"/>
  <c r="E20" i="1"/>
  <c r="E19" i="1"/>
  <c r="E18" i="1"/>
  <c r="K17" i="1"/>
  <c r="J17" i="1"/>
  <c r="G17" i="1"/>
  <c r="E17" i="1"/>
  <c r="C17" i="1"/>
  <c r="K4" i="1"/>
  <c r="J4" i="1"/>
  <c r="E6" i="1"/>
  <c r="E5" i="1"/>
  <c r="C14" i="1"/>
  <c r="F24" i="1" l="1"/>
  <c r="F20" i="1"/>
  <c r="F18" i="1"/>
  <c r="K14" i="1"/>
  <c r="H6" i="1"/>
  <c r="G6" i="1"/>
  <c r="C32" i="1"/>
  <c r="H19" i="1"/>
  <c r="H18" i="1"/>
  <c r="F19" i="1"/>
  <c r="H5" i="1"/>
  <c r="G5" i="1"/>
  <c r="F5" i="1"/>
  <c r="H20" i="1"/>
  <c r="E4" i="1"/>
  <c r="F6" i="1"/>
  <c r="F17" i="1"/>
  <c r="J14" i="1"/>
  <c r="F4" i="1"/>
  <c r="H4" i="1" l="1"/>
  <c r="G4" i="1"/>
  <c r="H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hui wang</author>
  </authors>
  <commentList>
    <comment ref="K18" authorId="0" shapeId="0" xr:uid="{92E461E4-F635-4EBB-8DD9-4B3E12FF9A2A}">
      <text>
        <r>
          <rPr>
            <b/>
            <sz val="9"/>
            <color indexed="81"/>
            <rFont val="Tahoma"/>
            <family val="2"/>
          </rPr>
          <t>hui wang:</t>
        </r>
        <r>
          <rPr>
            <sz val="9"/>
            <color indexed="81"/>
            <rFont val="Tahoma"/>
            <family val="2"/>
          </rPr>
          <t xml:space="preserve">
Commission = 15%</t>
        </r>
      </text>
    </comment>
  </commentList>
</comments>
</file>

<file path=xl/sharedStrings.xml><?xml version="1.0" encoding="utf-8"?>
<sst xmlns="http://schemas.openxmlformats.org/spreadsheetml/2006/main" count="73" uniqueCount="63">
  <si>
    <t>AIG Share and Term Adjusted</t>
  </si>
  <si>
    <t>Loading Tables</t>
  </si>
  <si>
    <t>Walk from Loss Cost to Technical Premium</t>
  </si>
  <si>
    <t>Non-Cat ULAE</t>
  </si>
  <si>
    <t>Submission</t>
  </si>
  <si>
    <t>Sample GLMS Account
Rating</t>
  </si>
  <si>
    <t>Loss Cost</t>
  </si>
  <si>
    <t>Loaded LC (ULAE
&amp; E-Mod)</t>
  </si>
  <si>
    <t>Expenses</t>
  </si>
  <si>
    <t>RI</t>
  </si>
  <si>
    <t>Profit</t>
  </si>
  <si>
    <t>Technical
Premium Without
Commission</t>
  </si>
  <si>
    <t>Technical
Premium With
Commission</t>
  </si>
  <si>
    <t>Non-Cat</t>
  </si>
  <si>
    <t>Physical Damage</t>
  </si>
  <si>
    <t>Non-Cat Reinsurance Load</t>
  </si>
  <si>
    <t>Business Interruption</t>
  </si>
  <si>
    <t>Non-Cat Profit Load</t>
  </si>
  <si>
    <t>Expense Load</t>
  </si>
  <si>
    <t>14.04%</t>
  </si>
  <si>
    <t>Addt'l Considerations</t>
  </si>
  <si>
    <t>Experience Modifier</t>
  </si>
  <si>
    <t>Capacity Charge</t>
  </si>
  <si>
    <t>HSB</t>
  </si>
  <si>
    <t>Extended Coverages</t>
  </si>
  <si>
    <t>CTE</t>
  </si>
  <si>
    <t>Total Non-Cat</t>
  </si>
  <si>
    <t>Loaded LC</t>
  </si>
  <si>
    <t>Without Comm.</t>
  </si>
  <si>
    <t>With Comm.</t>
  </si>
  <si>
    <t>Non-Modeled Cat</t>
  </si>
  <si>
    <t>SRCC</t>
  </si>
  <si>
    <t>Non-Modeled Cat ULAE</t>
  </si>
  <si>
    <t>Terrorism</t>
  </si>
  <si>
    <t>NM Cat Profit</t>
  </si>
  <si>
    <t>Wildfire</t>
  </si>
  <si>
    <t>AAL</t>
  </si>
  <si>
    <t>TCP Margin</t>
  </si>
  <si>
    <t>Loaded AAL w/
LAE</t>
  </si>
  <si>
    <t>Expense</t>
  </si>
  <si>
    <t>Profit &amp; RI</t>
  </si>
  <si>
    <t>Modeled Cat</t>
  </si>
  <si>
    <t>LAE</t>
  </si>
  <si>
    <t>Earthquake</t>
  </si>
  <si>
    <t>Fire Following</t>
  </si>
  <si>
    <t>Flood</t>
  </si>
  <si>
    <t>Tornado</t>
  </si>
  <si>
    <t>Windstorm</t>
  </si>
  <si>
    <t>Winterstorm</t>
  </si>
  <si>
    <t>Total</t>
  </si>
  <si>
    <t>DEAL_ID</t>
  </si>
  <si>
    <t>SCENARIO_ID</t>
  </si>
  <si>
    <t>CLNT_ID</t>
  </si>
  <si>
    <t>CLNT_BUSN_NM</t>
  </si>
  <si>
    <t>ORG_NM</t>
  </si>
  <si>
    <t>DNB_NO</t>
  </si>
  <si>
    <t>DIV_CD</t>
  </si>
  <si>
    <t>EFF_DT</t>
  </si>
  <si>
    <t>EXP_DT</t>
  </si>
  <si>
    <t>IQHQ, INC.</t>
  </si>
  <si>
    <t>IQHQ,
INC.</t>
  </si>
  <si>
    <t>3/1/2025</t>
  </si>
  <si>
    <t>3/1/2026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</si>
</sst>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#,##0.0"/>
    <numFmt numFmtId="178" formatCode="0.000000"/>
  </numFmts>
  <fonts count="12" x14ac:knownFonts="1">
    <font>
      <sz val="11"/>
      <color theme="1"/>
      <name val="Calibri"/>
    </font>
    <font>
      <b/>
      <sz val="11"/>
      <color rgb="FFFFFFFF"/>
      <name val="Calibri"/>
    </font>
    <font>
      <i/>
      <sz val="11"/>
      <color theme="1"/>
      <name val="Calibri"/>
    </font>
    <font>
      <b/>
      <sz val="11"/>
      <color theme="1"/>
      <name val="Calibri"/>
    </font>
    <font>
      <b/>
      <i/>
      <sz val="11"/>
      <color theme="1"/>
      <name val="Calibri"/>
    </font>
    <font>
      <sz val="16"/>
      <color theme="1"/>
      <name val="Calibri"/>
    </font>
    <font>
      <sz val="9"/>
      <name val="DengXian"/>
      <family val="3"/>
      <charset val="134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 wrapText="1"/>
    </xf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" fontId="5" fillId="0" borderId="0" xfId="0" applyNumberFormat="1" applyFont="1" applyAlignment="1">
      <alignment horizontal="right"/>
    </xf>
    <xf numFmtId="178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3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0" fontId="0" fillId="0" borderId="0" xfId="0" applyNumberFormat="1" applyAlignment="1">
      <alignment horizontal="right"/>
    </xf>
    <xf numFmtId="10" fontId="0" fillId="0" borderId="0" xfId="0" applyNumberFormat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0" fontId="0" fillId="0" borderId="0" xfId="0" applyFill="1"/>
    <xf numFmtId="3" fontId="3" fillId="0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horizontal="right" vertical="center"/>
    </xf>
    <xf numFmtId="3" fontId="8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3" fontId="9" fillId="4" borderId="1" xfId="0" applyNumberFormat="1" applyFont="1" applyFill="1" applyBorder="1" applyAlignment="1">
      <alignment horizontal="right" vertical="center"/>
    </xf>
    <xf numFmtId="3" fontId="9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topLeftCell="A6" workbookViewId="0">
      <selection activeCell="F24" sqref="F24"/>
    </sheetView>
  </sheetViews>
  <sheetFormatPr defaultRowHeight="14.4" x14ac:dyDescent="0.3"/>
  <cols>
    <col min="1" max="1" width="5" customWidth="1"/>
    <col min="2" max="2" width="24.88671875" customWidth="1"/>
    <col min="3" max="3" width="11.21875" customWidth="1"/>
    <col min="4" max="4" width="0.77734375" customWidth="1"/>
    <col min="5" max="5" width="16" customWidth="1"/>
    <col min="6" max="6" width="13.5546875" customWidth="1"/>
    <col min="7" max="7" width="10.33203125" customWidth="1"/>
    <col min="8" max="8" width="11.6640625" customWidth="1"/>
    <col min="9" max="9" width="1.5546875" customWidth="1"/>
    <col min="10" max="10" width="14.44140625" customWidth="1"/>
    <col min="11" max="11" width="15.21875" customWidth="1"/>
    <col min="12" max="12" width="2.5546875" customWidth="1"/>
    <col min="13" max="13" width="8.77734375" customWidth="1"/>
    <col min="14" max="14" width="24.88671875" customWidth="1"/>
    <col min="15" max="15" width="11.6640625" customWidth="1"/>
    <col min="16" max="16" width="7.44140625" customWidth="1"/>
    <col min="17" max="17" width="10.88671875" customWidth="1"/>
    <col min="18" max="18" width="15.44140625" customWidth="1"/>
    <col min="19" max="19" width="14.88671875" customWidth="1"/>
  </cols>
  <sheetData>
    <row r="1" spans="1:19" ht="19.5" customHeight="1" x14ac:dyDescent="0.3">
      <c r="B1" s="29" t="s">
        <v>0</v>
      </c>
      <c r="C1" s="29"/>
      <c r="D1" s="29"/>
      <c r="E1" s="29"/>
      <c r="F1" s="29"/>
      <c r="G1" s="29"/>
      <c r="H1" s="29"/>
      <c r="I1" s="30"/>
      <c r="J1" s="29"/>
      <c r="K1" s="29"/>
      <c r="L1" s="2"/>
      <c r="N1" s="4" t="s">
        <v>1</v>
      </c>
      <c r="O1" s="4"/>
    </row>
    <row r="2" spans="1:19" ht="19.5" customHeight="1" x14ac:dyDescent="0.4">
      <c r="B2" s="29" t="s">
        <v>2</v>
      </c>
      <c r="C2" s="29"/>
      <c r="D2" s="29"/>
      <c r="E2" s="29"/>
      <c r="F2" s="29"/>
      <c r="G2" s="29"/>
      <c r="H2" s="29"/>
      <c r="I2" s="2"/>
      <c r="J2" s="29" t="s">
        <v>0</v>
      </c>
      <c r="K2" s="29"/>
      <c r="L2" s="2"/>
      <c r="N2" s="4" t="s">
        <v>3</v>
      </c>
      <c r="O2" s="7">
        <v>1.0479039999999999</v>
      </c>
      <c r="R2" s="3" t="s">
        <v>4</v>
      </c>
      <c r="S2" s="6">
        <v>14192781</v>
      </c>
    </row>
    <row r="3" spans="1:19" ht="42.6" customHeight="1" x14ac:dyDescent="0.3">
      <c r="B3" s="10" t="s">
        <v>5</v>
      </c>
      <c r="C3" s="10" t="s">
        <v>6</v>
      </c>
      <c r="D3" s="10"/>
      <c r="E3" s="10" t="s">
        <v>7</v>
      </c>
      <c r="F3" s="10" t="s">
        <v>8</v>
      </c>
      <c r="G3" s="10" t="s">
        <v>9</v>
      </c>
      <c r="H3" s="10" t="s">
        <v>10</v>
      </c>
      <c r="I3" s="11"/>
      <c r="J3" s="10" t="s">
        <v>11</v>
      </c>
      <c r="K3" s="10" t="s">
        <v>12</v>
      </c>
      <c r="L3" s="2"/>
      <c r="N3" s="3" t="s">
        <v>15</v>
      </c>
      <c r="O3" s="31">
        <v>0.196009489566598</v>
      </c>
      <c r="S3" s="28"/>
    </row>
    <row r="4" spans="1:19" ht="16.5" customHeight="1" x14ac:dyDescent="0.3">
      <c r="B4" s="12" t="s">
        <v>13</v>
      </c>
      <c r="C4" s="38">
        <v>511723</v>
      </c>
      <c r="D4" s="38"/>
      <c r="E4" s="38">
        <f>SUM(E5:E6)</f>
        <v>514317.11738816666</v>
      </c>
      <c r="F4" s="38">
        <f>E4*$O$5</f>
        <v>72235.713334795306</v>
      </c>
      <c r="G4" s="38">
        <f>E4*$O$3</f>
        <v>100811.03565461861</v>
      </c>
      <c r="H4" s="38">
        <f>E4*$O$4</f>
        <v>33754.588343659707</v>
      </c>
      <c r="I4" s="39"/>
      <c r="J4" s="38">
        <f>SUM(J5:J6)</f>
        <v>721118.1399999999</v>
      </c>
      <c r="K4" s="38">
        <f>SUM(K5:K6)</f>
        <v>848374.28</v>
      </c>
      <c r="L4" s="2"/>
      <c r="N4" s="4" t="s">
        <v>17</v>
      </c>
      <c r="O4" s="32">
        <v>6.5629914312543405E-2</v>
      </c>
      <c r="S4" s="28"/>
    </row>
    <row r="5" spans="1:19" ht="16.5" customHeight="1" x14ac:dyDescent="0.3">
      <c r="B5" s="15" t="s">
        <v>14</v>
      </c>
      <c r="C5" s="13">
        <v>487232.14</v>
      </c>
      <c r="D5" s="13"/>
      <c r="E5" s="13">
        <f>C5*$O$2*$O$6</f>
        <v>489701.83600728045</v>
      </c>
      <c r="F5" s="13">
        <f>E5*$O$5</f>
        <v>68778.503085767079</v>
      </c>
      <c r="G5" s="33">
        <f>E5*$O$3</f>
        <v>95986.206915612929</v>
      </c>
      <c r="H5" s="13">
        <f>E5*$O$4</f>
        <v>32139.089535853</v>
      </c>
      <c r="I5" s="14"/>
      <c r="J5" s="13">
        <v>686605.33</v>
      </c>
      <c r="K5" s="13">
        <v>807770.97</v>
      </c>
      <c r="L5" s="2"/>
      <c r="N5" s="4" t="s">
        <v>18</v>
      </c>
      <c r="O5" s="32">
        <v>0.14044975539921101</v>
      </c>
      <c r="S5" s="28"/>
    </row>
    <row r="6" spans="1:19" ht="16.5" customHeight="1" x14ac:dyDescent="0.3">
      <c r="B6" s="15" t="s">
        <v>16</v>
      </c>
      <c r="C6" s="13">
        <v>24491.14</v>
      </c>
      <c r="D6" s="13"/>
      <c r="E6" s="13">
        <f>C6*$O$2*$O$6</f>
        <v>24615.281380886216</v>
      </c>
      <c r="F6" s="13">
        <f>E6*$O$5</f>
        <v>3457.2102490282218</v>
      </c>
      <c r="G6" s="33">
        <f>E6*$O$3</f>
        <v>4824.8287390056903</v>
      </c>
      <c r="H6" s="13">
        <f>E6*$O$4</f>
        <v>1615.4988078067074</v>
      </c>
      <c r="I6" s="14"/>
      <c r="J6" s="13">
        <v>34512.81</v>
      </c>
      <c r="K6" s="13">
        <v>40603.31</v>
      </c>
      <c r="L6" s="2"/>
      <c r="N6" s="4" t="s">
        <v>21</v>
      </c>
      <c r="O6" s="32">
        <v>0.95912299999999995</v>
      </c>
    </row>
    <row r="7" spans="1:19" ht="7.2" customHeight="1" x14ac:dyDescent="0.3">
      <c r="B7" s="12"/>
      <c r="C7" s="13"/>
      <c r="D7" s="13"/>
      <c r="E7" s="13"/>
      <c r="F7" s="13"/>
      <c r="G7" s="13"/>
      <c r="H7" s="13"/>
      <c r="I7" s="14"/>
      <c r="J7" s="13"/>
      <c r="K7" s="13"/>
      <c r="L7" s="2"/>
    </row>
    <row r="8" spans="1:19" ht="16.5" customHeight="1" x14ac:dyDescent="0.3">
      <c r="B8" s="16" t="s">
        <v>20</v>
      </c>
      <c r="C8" s="13"/>
      <c r="D8" s="13"/>
      <c r="E8" s="13"/>
      <c r="F8" s="13"/>
      <c r="G8" s="13"/>
      <c r="H8" s="13"/>
      <c r="I8" s="14"/>
      <c r="J8" s="13"/>
      <c r="K8" s="13"/>
      <c r="L8" s="2"/>
    </row>
    <row r="9" spans="1:19" ht="16.5" customHeight="1" x14ac:dyDescent="0.3">
      <c r="B9" s="15" t="s">
        <v>22</v>
      </c>
      <c r="C9" s="13"/>
      <c r="D9" s="13"/>
      <c r="E9" s="13"/>
      <c r="F9" s="13"/>
      <c r="G9" s="13"/>
      <c r="H9" s="13"/>
      <c r="I9" s="14"/>
      <c r="J9" s="13">
        <v>33362.42</v>
      </c>
      <c r="K9" s="13">
        <v>39249.910000000003</v>
      </c>
      <c r="L9" s="2"/>
      <c r="N9" s="4"/>
      <c r="O9" s="5"/>
    </row>
    <row r="10" spans="1:19" ht="16.5" customHeight="1" x14ac:dyDescent="0.3">
      <c r="B10" s="15" t="s">
        <v>23</v>
      </c>
      <c r="C10" s="13"/>
      <c r="D10" s="13"/>
      <c r="E10" s="13"/>
      <c r="F10" s="13"/>
      <c r="G10" s="13"/>
      <c r="H10" s="13"/>
      <c r="I10" s="14"/>
      <c r="J10" s="13">
        <v>57919</v>
      </c>
      <c r="K10" s="13">
        <v>68140</v>
      </c>
      <c r="L10" s="2"/>
      <c r="N10" s="4"/>
      <c r="O10" s="5"/>
    </row>
    <row r="11" spans="1:19" ht="16.5" customHeight="1" x14ac:dyDescent="0.3">
      <c r="B11" s="15" t="s">
        <v>24</v>
      </c>
      <c r="C11" s="13"/>
      <c r="D11" s="13"/>
      <c r="E11" s="13"/>
      <c r="F11" s="13"/>
      <c r="G11" s="13"/>
      <c r="H11" s="13"/>
      <c r="I11" s="14"/>
      <c r="J11" s="13">
        <v>0</v>
      </c>
      <c r="K11" s="13">
        <v>0</v>
      </c>
      <c r="L11" s="2"/>
      <c r="N11" s="4"/>
      <c r="O11" s="5"/>
    </row>
    <row r="12" spans="1:19" ht="16.5" customHeight="1" x14ac:dyDescent="0.3">
      <c r="B12" s="15" t="s">
        <v>25</v>
      </c>
      <c r="C12" s="13">
        <v>9111.61</v>
      </c>
      <c r="D12" s="13"/>
      <c r="E12" s="13">
        <v>9548</v>
      </c>
      <c r="F12" s="13">
        <v>1341</v>
      </c>
      <c r="G12" s="13">
        <v>1872</v>
      </c>
      <c r="H12" s="13">
        <v>627</v>
      </c>
      <c r="I12" s="14"/>
      <c r="J12" s="13">
        <v>13387.28</v>
      </c>
      <c r="K12" s="13">
        <v>15749.74</v>
      </c>
      <c r="L12" s="2"/>
      <c r="N12" s="4"/>
      <c r="O12" s="5"/>
    </row>
    <row r="13" spans="1:19" ht="5.4" customHeight="1" x14ac:dyDescent="0.3">
      <c r="B13" s="12"/>
      <c r="C13" s="13"/>
      <c r="D13" s="13"/>
      <c r="E13" s="13"/>
      <c r="F13" s="13"/>
      <c r="G13" s="13"/>
      <c r="H13" s="13"/>
      <c r="I13" s="14"/>
      <c r="J13" s="13"/>
      <c r="K13" s="13"/>
      <c r="L13" s="2"/>
      <c r="N13" s="4"/>
      <c r="O13" s="5"/>
    </row>
    <row r="14" spans="1:19" ht="16.5" customHeight="1" x14ac:dyDescent="0.3">
      <c r="B14" s="17" t="s">
        <v>26</v>
      </c>
      <c r="C14" s="18">
        <f>C4+SUM(C9:C12)</f>
        <v>520834.61</v>
      </c>
      <c r="D14" s="18"/>
      <c r="E14" s="18"/>
      <c r="F14" s="18"/>
      <c r="G14" s="18"/>
      <c r="H14" s="18"/>
      <c r="I14" s="19"/>
      <c r="J14" s="18">
        <f>J4+SUM(J9:J12)</f>
        <v>825786.83999999985</v>
      </c>
      <c r="K14" s="18">
        <f>K4+SUM(K9:K12)</f>
        <v>971513.93</v>
      </c>
      <c r="L14" s="2"/>
      <c r="N14" s="4"/>
      <c r="O14" s="5"/>
    </row>
    <row r="15" spans="1:19" ht="7.2" customHeigh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4"/>
      <c r="N15" s="4"/>
      <c r="O15" s="5"/>
    </row>
    <row r="16" spans="1:19" ht="16.5" customHeight="1" x14ac:dyDescent="0.3">
      <c r="B16" s="20"/>
      <c r="C16" s="20" t="s">
        <v>6</v>
      </c>
      <c r="D16" s="20"/>
      <c r="E16" s="20" t="s">
        <v>27</v>
      </c>
      <c r="F16" s="20" t="s">
        <v>8</v>
      </c>
      <c r="G16" s="20" t="s">
        <v>9</v>
      </c>
      <c r="H16" s="20" t="s">
        <v>10</v>
      </c>
      <c r="I16" s="21"/>
      <c r="J16" s="20" t="s">
        <v>28</v>
      </c>
      <c r="K16" s="20" t="s">
        <v>29</v>
      </c>
      <c r="L16" s="2"/>
      <c r="N16" s="4"/>
      <c r="O16" s="5"/>
    </row>
    <row r="17" spans="2:15" ht="16.5" customHeight="1" x14ac:dyDescent="0.3">
      <c r="B17" s="40" t="s">
        <v>30</v>
      </c>
      <c r="C17" s="38">
        <f>SUM(C18:C20)</f>
        <v>74099</v>
      </c>
      <c r="D17" s="38"/>
      <c r="E17" s="38">
        <f t="shared" ref="E17:H17" si="0">SUM(E18:E20)</f>
        <v>74099</v>
      </c>
      <c r="F17" s="38">
        <f t="shared" si="0"/>
        <v>10407.186425326137</v>
      </c>
      <c r="G17" s="38">
        <f t="shared" si="0"/>
        <v>0</v>
      </c>
      <c r="H17" s="38">
        <f t="shared" si="0"/>
        <v>9389.5762694806635</v>
      </c>
      <c r="I17" s="39"/>
      <c r="J17" s="38">
        <f t="shared" ref="J17:K17" si="1">SUM(J18:J20)</f>
        <v>93895</v>
      </c>
      <c r="K17" s="38">
        <f t="shared" si="1"/>
        <v>110464.70588235295</v>
      </c>
      <c r="L17" s="2"/>
      <c r="N17" s="4" t="s">
        <v>32</v>
      </c>
      <c r="O17" s="5">
        <v>1</v>
      </c>
    </row>
    <row r="18" spans="2:15" ht="16.5" customHeight="1" x14ac:dyDescent="0.3">
      <c r="B18" s="37" t="s">
        <v>31</v>
      </c>
      <c r="C18" s="13">
        <v>26700</v>
      </c>
      <c r="D18" s="13"/>
      <c r="E18" s="13">
        <f>C18</f>
        <v>26700</v>
      </c>
      <c r="F18" s="22">
        <f>E18*$O$19</f>
        <v>3750.0084691589341</v>
      </c>
      <c r="G18" s="13">
        <v>0</v>
      </c>
      <c r="H18" s="22">
        <f>E18*$O$18</f>
        <v>3383.3342743509866</v>
      </c>
      <c r="I18" s="14"/>
      <c r="J18" s="13">
        <v>33833</v>
      </c>
      <c r="K18" s="13">
        <f>J18/(1-0.15)</f>
        <v>39803.529411764706</v>
      </c>
      <c r="L18" s="2"/>
      <c r="N18" s="4" t="s">
        <v>34</v>
      </c>
      <c r="O18" s="7">
        <v>0.12671663948880099</v>
      </c>
    </row>
    <row r="19" spans="2:15" ht="16.5" customHeight="1" x14ac:dyDescent="0.3">
      <c r="B19" s="15" t="s">
        <v>33</v>
      </c>
      <c r="C19" s="13">
        <v>46937</v>
      </c>
      <c r="D19" s="13"/>
      <c r="E19" s="13">
        <f t="shared" ref="E19:E20" si="2">C19</f>
        <v>46937</v>
      </c>
      <c r="F19" s="22">
        <f t="shared" ref="F19:F20" si="3">E19*$O$19</f>
        <v>6592.2901691727675</v>
      </c>
      <c r="G19" s="13">
        <v>0</v>
      </c>
      <c r="H19" s="22">
        <f t="shared" ref="H19:H20" si="4">E19*$O$18</f>
        <v>5947.6989076858517</v>
      </c>
      <c r="I19" s="14"/>
      <c r="J19" s="13">
        <v>59477</v>
      </c>
      <c r="K19" s="13">
        <f t="shared" ref="K19:K20" si="5">J19/(1-0.15)</f>
        <v>69972.941176470587</v>
      </c>
      <c r="L19" s="2"/>
      <c r="N19" s="4" t="s">
        <v>18</v>
      </c>
      <c r="O19" s="32">
        <v>0.14044975539921101</v>
      </c>
    </row>
    <row r="20" spans="2:15" ht="16.5" customHeight="1" x14ac:dyDescent="0.3">
      <c r="B20" s="15" t="s">
        <v>35</v>
      </c>
      <c r="C20" s="13">
        <v>462</v>
      </c>
      <c r="D20" s="13"/>
      <c r="E20" s="13">
        <f t="shared" si="2"/>
        <v>462</v>
      </c>
      <c r="F20" s="22">
        <f t="shared" si="3"/>
        <v>64.887786994435487</v>
      </c>
      <c r="G20" s="13">
        <v>0</v>
      </c>
      <c r="H20" s="22">
        <f t="shared" si="4"/>
        <v>58.54308744382606</v>
      </c>
      <c r="I20" s="14"/>
      <c r="J20" s="13">
        <v>585</v>
      </c>
      <c r="K20" s="13">
        <f t="shared" si="5"/>
        <v>688.23529411764707</v>
      </c>
      <c r="L20" s="2"/>
    </row>
    <row r="21" spans="2:15" ht="7.8" customHeight="1" x14ac:dyDescent="0.3">
      <c r="I21" s="2"/>
      <c r="L21" s="2"/>
      <c r="N21" s="4"/>
      <c r="O21" s="5"/>
    </row>
    <row r="22" spans="2:15" ht="27" customHeight="1" x14ac:dyDescent="0.3">
      <c r="B22" s="23"/>
      <c r="C22" s="23" t="s">
        <v>36</v>
      </c>
      <c r="D22" s="23"/>
      <c r="E22" s="23" t="s">
        <v>37</v>
      </c>
      <c r="F22" s="23" t="s">
        <v>38</v>
      </c>
      <c r="G22" s="23" t="s">
        <v>39</v>
      </c>
      <c r="H22" s="23" t="s">
        <v>40</v>
      </c>
      <c r="I22" s="24"/>
      <c r="J22" s="23" t="s">
        <v>28</v>
      </c>
      <c r="K22" s="23" t="s">
        <v>29</v>
      </c>
      <c r="L22" s="2"/>
      <c r="N22" s="4"/>
      <c r="O22" s="5"/>
    </row>
    <row r="23" spans="2:15" ht="16.5" customHeight="1" x14ac:dyDescent="0.3">
      <c r="B23" s="40" t="s">
        <v>41</v>
      </c>
      <c r="C23" s="38">
        <f>SUM(C24:C30)</f>
        <v>193118.4626</v>
      </c>
      <c r="D23" s="38"/>
      <c r="E23" s="38"/>
      <c r="F23" s="38">
        <v>200843</v>
      </c>
      <c r="G23" s="38">
        <v>28208</v>
      </c>
      <c r="H23" s="38">
        <v>100353</v>
      </c>
      <c r="I23" s="39"/>
      <c r="J23" s="38">
        <v>329405</v>
      </c>
      <c r="K23" s="38">
        <v>387535</v>
      </c>
      <c r="L23" s="2"/>
      <c r="N23" s="4" t="s">
        <v>42</v>
      </c>
      <c r="O23" s="8">
        <v>1.04</v>
      </c>
    </row>
    <row r="24" spans="2:15" ht="16.5" customHeight="1" x14ac:dyDescent="0.3">
      <c r="B24" s="15" t="s">
        <v>43</v>
      </c>
      <c r="C24" s="13">
        <v>2618</v>
      </c>
      <c r="D24" s="13"/>
      <c r="E24" s="25">
        <v>1.66217605923488</v>
      </c>
      <c r="F24" s="13">
        <f>C23*$O$23</f>
        <v>200843.20110400001</v>
      </c>
      <c r="G24" s="13">
        <v>382</v>
      </c>
      <c r="H24" s="13">
        <v>4526</v>
      </c>
      <c r="I24" s="14"/>
      <c r="J24" s="13">
        <v>7631</v>
      </c>
      <c r="K24" s="13">
        <v>8977</v>
      </c>
      <c r="L24" s="2"/>
      <c r="N24" s="4" t="s">
        <v>39</v>
      </c>
      <c r="O24" s="5" t="s">
        <v>19</v>
      </c>
    </row>
    <row r="25" spans="2:15" ht="16.5" customHeight="1" x14ac:dyDescent="0.3">
      <c r="B25" s="15" t="s">
        <v>44</v>
      </c>
      <c r="C25" s="13">
        <v>4619.4625999999998</v>
      </c>
      <c r="D25" s="13"/>
      <c r="E25" s="25">
        <v>4.1189687519063298</v>
      </c>
      <c r="F25" s="22">
        <v>4804.24</v>
      </c>
      <c r="G25" s="22">
        <v>674.75</v>
      </c>
      <c r="H25" s="26">
        <v>19788.5</v>
      </c>
      <c r="I25" s="14"/>
      <c r="J25" s="13">
        <v>25268</v>
      </c>
      <c r="K25" s="13">
        <v>29726</v>
      </c>
      <c r="L25" s="2"/>
    </row>
    <row r="26" spans="2:15" ht="16.5" customHeight="1" x14ac:dyDescent="0.3">
      <c r="B26" s="15" t="s">
        <v>45</v>
      </c>
      <c r="C26" s="13">
        <v>113912</v>
      </c>
      <c r="D26" s="13"/>
      <c r="E26" s="25">
        <v>0.11000006077565901</v>
      </c>
      <c r="F26" s="13">
        <v>118468</v>
      </c>
      <c r="G26" s="13">
        <v>16639</v>
      </c>
      <c r="H26" s="13">
        <v>13032</v>
      </c>
      <c r="I26" s="14"/>
      <c r="J26" s="13">
        <v>148139</v>
      </c>
      <c r="K26" s="13">
        <v>174281</v>
      </c>
      <c r="L26" s="2"/>
    </row>
    <row r="27" spans="2:15" ht="16.5" customHeight="1" x14ac:dyDescent="0.3">
      <c r="B27" s="15" t="s">
        <v>46</v>
      </c>
      <c r="C27" s="13">
        <v>15963</v>
      </c>
      <c r="D27" s="13"/>
      <c r="E27" s="25">
        <v>0.23598622294825999</v>
      </c>
      <c r="F27" s="13">
        <v>16602</v>
      </c>
      <c r="G27" s="13">
        <v>2332</v>
      </c>
      <c r="H27" s="13">
        <v>3918</v>
      </c>
      <c r="I27" s="14"/>
      <c r="J27" s="13">
        <v>22851</v>
      </c>
      <c r="K27" s="13">
        <v>26883</v>
      </c>
      <c r="L27" s="2"/>
    </row>
    <row r="28" spans="2:15" ht="16.5" customHeight="1" x14ac:dyDescent="0.3">
      <c r="B28" s="15" t="s">
        <v>35</v>
      </c>
      <c r="C28" s="13">
        <v>2987</v>
      </c>
      <c r="D28" s="13"/>
      <c r="E28" s="25">
        <v>0.49258968350029603</v>
      </c>
      <c r="F28" s="13">
        <v>3106</v>
      </c>
      <c r="G28" s="13">
        <v>436</v>
      </c>
      <c r="H28" s="13">
        <v>1530</v>
      </c>
      <c r="I28" s="14"/>
      <c r="J28" s="13">
        <v>5073</v>
      </c>
      <c r="K28" s="13">
        <v>5968</v>
      </c>
      <c r="L28" s="2"/>
    </row>
    <row r="29" spans="2:15" ht="16.5" customHeight="1" x14ac:dyDescent="0.3">
      <c r="B29" s="15" t="s">
        <v>47</v>
      </c>
      <c r="C29" s="13">
        <v>17636</v>
      </c>
      <c r="D29" s="13"/>
      <c r="E29" s="25">
        <v>2.4928478898058199</v>
      </c>
      <c r="F29" s="13">
        <v>18341</v>
      </c>
      <c r="G29" s="13">
        <v>2576</v>
      </c>
      <c r="H29" s="13">
        <v>45722</v>
      </c>
      <c r="I29" s="14"/>
      <c r="J29" s="13">
        <v>66640</v>
      </c>
      <c r="K29" s="13">
        <v>78400</v>
      </c>
      <c r="L29" s="2"/>
    </row>
    <row r="30" spans="2:15" ht="16.5" customHeight="1" x14ac:dyDescent="0.3">
      <c r="B30" s="15" t="s">
        <v>48</v>
      </c>
      <c r="C30" s="13">
        <v>35383</v>
      </c>
      <c r="D30" s="13"/>
      <c r="E30" s="25">
        <v>0.32167120672900301</v>
      </c>
      <c r="F30" s="13">
        <v>36798</v>
      </c>
      <c r="G30" s="13">
        <v>5168</v>
      </c>
      <c r="H30" s="13">
        <v>11837</v>
      </c>
      <c r="I30" s="14"/>
      <c r="J30" s="13">
        <v>53804</v>
      </c>
      <c r="K30" s="13">
        <v>63298</v>
      </c>
      <c r="L30" s="2"/>
    </row>
    <row r="31" spans="2:15" ht="16.5" customHeight="1" x14ac:dyDescent="0.3">
      <c r="B31" s="12"/>
      <c r="C31" s="13"/>
      <c r="D31" s="13"/>
      <c r="E31" s="13"/>
      <c r="F31" s="13"/>
      <c r="G31" s="13"/>
      <c r="H31" s="13"/>
      <c r="I31" s="14"/>
      <c r="J31" s="13"/>
      <c r="K31" s="13"/>
      <c r="L31" s="2"/>
    </row>
    <row r="32" spans="2:15" ht="16.5" customHeight="1" x14ac:dyDescent="0.3">
      <c r="B32" s="27" t="s">
        <v>49</v>
      </c>
      <c r="C32" s="18">
        <f>C14+C17+C23</f>
        <v>788052.07259999996</v>
      </c>
      <c r="D32" s="18"/>
      <c r="E32" s="18"/>
      <c r="F32" s="18"/>
      <c r="G32" s="18"/>
      <c r="H32" s="18"/>
      <c r="I32" s="19"/>
      <c r="J32" s="18">
        <v>1249086</v>
      </c>
      <c r="K32" s="18">
        <v>1469513</v>
      </c>
      <c r="L32" s="2"/>
    </row>
    <row r="33" spans="2:11" ht="16.5" customHeight="1" x14ac:dyDescent="0.3"/>
    <row r="34" spans="2:11" ht="16.5" customHeight="1" x14ac:dyDescent="0.3"/>
    <row r="35" spans="2:11" ht="28.8" x14ac:dyDescent="0.3">
      <c r="B35" s="1" t="s">
        <v>50</v>
      </c>
      <c r="C35" s="1" t="s">
        <v>51</v>
      </c>
      <c r="D35" s="1"/>
      <c r="E35" s="1" t="s">
        <v>52</v>
      </c>
      <c r="F35" s="1" t="s">
        <v>53</v>
      </c>
      <c r="G35" s="1" t="s">
        <v>54</v>
      </c>
      <c r="H35" s="1" t="s">
        <v>55</v>
      </c>
      <c r="I35" s="1" t="s">
        <v>56</v>
      </c>
      <c r="J35" s="1" t="s">
        <v>57</v>
      </c>
      <c r="K35" s="1" t="s">
        <v>58</v>
      </c>
    </row>
    <row r="36" spans="2:11" ht="31.5" customHeight="1" x14ac:dyDescent="0.3">
      <c r="B36" s="9">
        <v>239448</v>
      </c>
      <c r="C36" s="9">
        <v>539568</v>
      </c>
      <c r="D36" s="9"/>
      <c r="E36" s="9">
        <v>157285</v>
      </c>
      <c r="F36" s="1" t="s">
        <v>59</v>
      </c>
      <c r="G36" s="1" t="s">
        <v>60</v>
      </c>
      <c r="H36" s="9">
        <v>117226382</v>
      </c>
      <c r="I36" s="9">
        <v>12</v>
      </c>
      <c r="J36" s="1" t="s">
        <v>61</v>
      </c>
      <c r="K36" s="1" t="s">
        <v>62</v>
      </c>
    </row>
    <row r="37" spans="2:11" ht="16.5" customHeight="1" x14ac:dyDescent="0.3"/>
    <row r="38" spans="2:11" ht="16.5" customHeight="1" x14ac:dyDescent="0.3"/>
    <row r="39" spans="2:11" ht="16.5" customHeight="1" x14ac:dyDescent="0.3"/>
    <row r="40" spans="2:11" ht="16.5" customHeight="1" x14ac:dyDescent="0.3"/>
    <row r="41" spans="2:11" ht="16.5" customHeight="1" x14ac:dyDescent="0.3"/>
    <row r="42" spans="2:11" ht="16.5" customHeight="1" x14ac:dyDescent="0.3"/>
    <row r="43" spans="2:11" ht="16.5" customHeight="1" x14ac:dyDescent="0.3"/>
    <row r="44" spans="2:11" ht="16.5" customHeight="1" x14ac:dyDescent="0.3"/>
    <row r="45" spans="2:11" ht="16.5" customHeight="1" x14ac:dyDescent="0.3"/>
  </sheetData>
  <mergeCells count="3">
    <mergeCell ref="B1:K1"/>
    <mergeCell ref="B2:H2"/>
    <mergeCell ref="J2:K2"/>
  </mergeCells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 wang</cp:lastModifiedBy>
  <dcterms:modified xsi:type="dcterms:W3CDTF">2026-05-17T16:56:49Z</dcterms:modified>
</cp:coreProperties>
</file>